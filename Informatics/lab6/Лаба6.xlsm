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charts/chart1.xml" ContentType="application/vnd.openxmlformats-officedocument.drawingml.chart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sheet7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5"/>
  </bookViews>
  <sheets>
    <sheet name="A1" sheetId="1" state="visible" r:id="rId2"/>
    <sheet name="Справочник" sheetId="2" state="visible" r:id="rId3"/>
    <sheet name="Расчёт" sheetId="3" state="visible" r:id="rId4"/>
    <sheet name="Диаграмма" sheetId="4" state="visible" r:id="rId5"/>
    <sheet name="D2" sheetId="5" state="visible" r:id="rId6"/>
    <sheet name="F3.Таблица1" sheetId="6" state="visible" r:id="rId7"/>
    <sheet name="F3.Таблица2" sheetId="7" state="visible" r:id="rId8"/>
  </sheets>
  <definedNames>
    <definedName function="false" hidden="true" localSheetId="4" name="_xlnm._FilterDatabase" vbProcedure="false">D2!$A$1:$H$16</definedName>
    <definedName function="false" hidden="false" localSheetId="4" name="_xlnm.Criteria" vbProcedure="false">D2!$J$7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<sst xmlns="http://schemas.openxmlformats.org/spreadsheetml/2006/main" count="170" uniqueCount="127">
  <si>
    <t xml:space="preserve">Минимальное значение аргумента</t>
  </si>
  <si>
    <t xml:space="preserve">Максимальное значение аргумента</t>
  </si>
  <si>
    <t xml:space="preserve">Шаг изменения аргумента</t>
  </si>
  <si>
    <t xml:space="preserve">Искомое значение</t>
  </si>
  <si>
    <t xml:space="preserve">Расчет выражения на заданном интервале</t>
  </si>
  <si>
    <t xml:space="preserve">Аргумент X</t>
  </si>
  <si>
    <t xml:space="preserve">Значение выражения при A=  </t>
  </si>
  <si>
    <t xml:space="preserve">Максимальное значение выражения </t>
  </si>
  <si>
    <t xml:space="preserve">Минимальное значение выражения </t>
  </si>
  <si>
    <t xml:space="preserve">Количество искомых значений</t>
  </si>
  <si>
    <t xml:space="preserve">Расчётчик</t>
  </si>
  <si>
    <t xml:space="preserve">Комова В.Г.</t>
  </si>
  <si>
    <t xml:space="preserve">Подоходный налог НДФЛ</t>
  </si>
  <si>
    <t xml:space="preserve">Пенсионный налог ПФ</t>
  </si>
  <si>
    <t xml:space="preserve">Больничный лист</t>
  </si>
  <si>
    <t xml:space="preserve">Отдел:</t>
  </si>
  <si>
    <t xml:space="preserve">ТК№9</t>
  </si>
  <si>
    <t xml:space="preserve">Месяц:</t>
  </si>
  <si>
    <t xml:space="preserve">Сентябрь, 2017</t>
  </si>
  <si>
    <t xml:space="preserve">Кол-во рабочих дней: </t>
  </si>
  <si>
    <t xml:space="preserve">Ведомость начисления з/п сотрудникам</t>
  </si>
  <si>
    <t xml:space="preserve">Код</t>
  </si>
  <si>
    <t xml:space="preserve">Фио</t>
  </si>
  <si>
    <t xml:space="preserve">Оклад</t>
  </si>
  <si>
    <t xml:space="preserve">Премия</t>
  </si>
  <si>
    <t xml:space="preserve">Дней по больничному</t>
  </si>
  <si>
    <t xml:space="preserve">Начислено</t>
  </si>
  <si>
    <t xml:space="preserve">Удержания</t>
  </si>
  <si>
    <t xml:space="preserve">Сумма к выдаче</t>
  </si>
  <si>
    <t xml:space="preserve">По рабочим дням</t>
  </si>
  <si>
    <t xml:space="preserve">По больничному</t>
  </si>
  <si>
    <t xml:space="preserve">Итого</t>
  </si>
  <si>
    <t xml:space="preserve">НДФЛ</t>
  </si>
  <si>
    <t xml:space="preserve">ПФ</t>
  </si>
  <si>
    <t xml:space="preserve">007</t>
  </si>
  <si>
    <t xml:space="preserve">Кнопкин Д.Б.</t>
  </si>
  <si>
    <t xml:space="preserve">009</t>
  </si>
  <si>
    <t xml:space="preserve">Хомзин Г.Д.</t>
  </si>
  <si>
    <t xml:space="preserve">036</t>
  </si>
  <si>
    <t xml:space="preserve">Рябчикова С.С.</t>
  </si>
  <si>
    <t xml:space="preserve">106</t>
  </si>
  <si>
    <t xml:space="preserve">Фёдоров М.Я.</t>
  </si>
  <si>
    <t xml:space="preserve">356</t>
  </si>
  <si>
    <t xml:space="preserve">Топоров Г.Г.</t>
  </si>
  <si>
    <t xml:space="preserve">777</t>
  </si>
  <si>
    <t xml:space="preserve">Витяев А.К.</t>
  </si>
  <si>
    <t xml:space="preserve">Итого:</t>
  </si>
  <si>
    <t xml:space="preserve">Расчётчик:</t>
  </si>
  <si>
    <t xml:space="preserve">Зав.отделом:</t>
  </si>
  <si>
    <t xml:space="preserve">Васькин В.С.</t>
  </si>
  <si>
    <t xml:space="preserve">Номер</t>
  </si>
  <si>
    <t xml:space="preserve">Часть света</t>
  </si>
  <si>
    <t xml:space="preserve">Страна</t>
  </si>
  <si>
    <t xml:space="preserve">Название</t>
  </si>
  <si>
    <t xml:space="preserve">Диапазон высоты</t>
  </si>
  <si>
    <t xml:space="preserve">Высота</t>
  </si>
  <si>
    <t xml:space="preserve">Первовосходитель</t>
  </si>
  <si>
    <t xml:space="preserve">Год первого восхождения</t>
  </si>
  <si>
    <t xml:space="preserve">Европа</t>
  </si>
  <si>
    <t xml:space="preserve">Франция</t>
  </si>
  <si>
    <t xml:space="preserve">Монблан</t>
  </si>
  <si>
    <t xml:space="preserve">5001 – 6000 метров (пятитысячники)</t>
  </si>
  <si>
    <t xml:space="preserve">Жак Больма</t>
  </si>
  <si>
    <t xml:space="preserve">8001 метр – (восьмитысячники)</t>
  </si>
  <si>
    <t xml:space="preserve">Швейцария</t>
  </si>
  <si>
    <t xml:space="preserve">Пик Дюфур</t>
  </si>
  <si>
    <t xml:space="preserve">Ч. Хадсон</t>
  </si>
  <si>
    <t xml:space="preserve">7001 – 8000 метров (семитысячники)</t>
  </si>
  <si>
    <t xml:space="preserve">Африка</t>
  </si>
  <si>
    <t xml:space="preserve">Уганда</t>
  </si>
  <si>
    <t xml:space="preserve">Стэнли</t>
  </si>
  <si>
    <t xml:space="preserve">Луиджи Амедео</t>
  </si>
  <si>
    <t xml:space="preserve">Россия</t>
  </si>
  <si>
    <t xml:space="preserve">Шхара</t>
  </si>
  <si>
    <t xml:space="preserve">У. Альмер</t>
  </si>
  <si>
    <t xml:space="preserve">6001 – 7000 метров (шеститысячники)</t>
  </si>
  <si>
    <t xml:space="preserve">Кения</t>
  </si>
  <si>
    <t xml:space="preserve">Хэлфорд Джон Маккиндер</t>
  </si>
  <si>
    <t xml:space="preserve">Эльбрус</t>
  </si>
  <si>
    <t xml:space="preserve">Хорас Уолкер</t>
  </si>
  <si>
    <t xml:space="preserve">Танзания</t>
  </si>
  <si>
    <t xml:space="preserve">Килиманджаро</t>
  </si>
  <si>
    <t xml:space="preserve">Ганс Мейер</t>
  </si>
  <si>
    <t xml:space="preserve">Америка </t>
  </si>
  <si>
    <t xml:space="preserve">Канада</t>
  </si>
  <si>
    <t xml:space="preserve">Логан</t>
  </si>
  <si>
    <t xml:space="preserve">Уильям Уошбро Фостер</t>
  </si>
  <si>
    <t xml:space="preserve">Перу</t>
  </si>
  <si>
    <t xml:space="preserve">Уаскаран</t>
  </si>
  <si>
    <t xml:space="preserve">Энни Смит-Пек</t>
  </si>
  <si>
    <t xml:space="preserve">Аргентина</t>
  </si>
  <si>
    <t xml:space="preserve">Монте-Писсис</t>
  </si>
  <si>
    <t xml:space="preserve">Стефан Осецкий</t>
  </si>
  <si>
    <t xml:space="preserve">Аконкагуа</t>
  </si>
  <si>
    <t xml:space="preserve">Маттиас Цурбригген</t>
  </si>
  <si>
    <t xml:space="preserve">Азия</t>
  </si>
  <si>
    <t xml:space="preserve">Афганистан</t>
  </si>
  <si>
    <t xml:space="preserve">Ношак</t>
  </si>
  <si>
    <t xml:space="preserve">Тошаки Сакаи</t>
  </si>
  <si>
    <t xml:space="preserve">Непал</t>
  </si>
  <si>
    <t xml:space="preserve">Хималчули</t>
  </si>
  <si>
    <t xml:space="preserve">Хисаши Танабе</t>
  </si>
  <si>
    <t xml:space="preserve">Китай</t>
  </si>
  <si>
    <t xml:space="preserve">Чогори</t>
  </si>
  <si>
    <t xml:space="preserve">Лино Лачаделли</t>
  </si>
  <si>
    <t xml:space="preserve">Джомолунгма</t>
  </si>
  <si>
    <t xml:space="preserve">Эдмунд Хиллари</t>
  </si>
  <si>
    <t xml:space="preserve">Наименование товара</t>
  </si>
  <si>
    <t xml:space="preserve">Количество, шт</t>
  </si>
  <si>
    <t xml:space="preserve">Итоговая цена</t>
  </si>
  <si>
    <t xml:space="preserve">Бампер передний</t>
  </si>
  <si>
    <t xml:space="preserve">Бампер задний</t>
  </si>
  <si>
    <t xml:space="preserve">Крыло левое заднее</t>
  </si>
  <si>
    <t xml:space="preserve">Дверь правая передняя</t>
  </si>
  <si>
    <t xml:space="preserve">Капот</t>
  </si>
  <si>
    <t xml:space="preserve">Крышка багажника</t>
  </si>
  <si>
    <t xml:space="preserve">Шкив коленчатого вала</t>
  </si>
  <si>
    <t xml:space="preserve">Радиатор</t>
  </si>
  <si>
    <t xml:space="preserve">Зеркало левое</t>
  </si>
  <si>
    <t xml:space="preserve">Дверь левая передняя</t>
  </si>
  <si>
    <t xml:space="preserve">Фильтр масляный</t>
  </si>
  <si>
    <t xml:space="preserve">Фильтр воздушный</t>
  </si>
  <si>
    <t xml:space="preserve">ИТОГО:</t>
  </si>
  <si>
    <t xml:space="preserve">Наименование продукта на рынке</t>
  </si>
  <si>
    <t xml:space="preserve">Цена, руб/кг</t>
  </si>
  <si>
    <t xml:space="preserve">Глушитель</t>
  </si>
  <si>
    <t xml:space="preserve">Проушина буксирная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</si>
</sst>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0.0"/>
    <numFmt numFmtId="166" formatCode="@"/>
    <numFmt numFmtId="167" formatCode="0%"/>
    <numFmt numFmtId="168" formatCode="0.00"/>
  </numFmts>
  <fonts count="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Times New Roman"/>
      <family val="1"/>
      <charset val="1"/>
    </font>
    <font>
      <sz val="10"/>
      <name val="Arial"/>
      <family val="2"/>
    </font>
    <font>
      <b val="true"/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9">
    <border diagonalUp="false" diagonalDown="false">
      <left/>
      <right/>
      <top/>
      <bottom/>
      <diagonal/>
    </border>
    <border diagonalUp="false" diagonalDown="false">
      <left style="thick"/>
      <right style="thin"/>
      <top style="thick"/>
      <bottom style="thin"/>
      <diagonal/>
    </border>
    <border diagonalUp="false" diagonalDown="false">
      <left style="thin"/>
      <right style="thick"/>
      <top style="thick"/>
      <bottom style="thin"/>
      <diagonal/>
    </border>
    <border diagonalUp="false" diagonalDown="false">
      <left style="thick"/>
      <right style="thin"/>
      <top style="thin"/>
      <bottom style="thin"/>
      <diagonal/>
    </border>
    <border diagonalUp="false" diagonalDown="false">
      <left style="thin"/>
      <right style="thick"/>
      <top style="thin"/>
      <bottom style="thin"/>
      <diagonal/>
    </border>
    <border diagonalUp="false" diagonalDown="false">
      <left style="thick"/>
      <right style="thin"/>
      <top style="thin"/>
      <bottom style="thick"/>
      <diagonal/>
    </border>
    <border diagonalUp="false" diagonalDown="false">
      <left style="thin"/>
      <right style="thick"/>
      <top style="thin"/>
      <bottom style="thick"/>
      <diagonal/>
    </border>
    <border diagonalUp="false" diagonalDown="false">
      <left style="thick"/>
      <right style="thin"/>
      <top style="thick"/>
      <bottom style="thick"/>
      <diagonal/>
    </border>
    <border diagonalUp="false" diagonalDown="false">
      <left style="thin"/>
      <right style="thin"/>
      <top style="thick"/>
      <bottom style="thick"/>
      <diagonal/>
    </border>
    <border diagonalUp="false" diagonalDown="false">
      <left style="thin"/>
      <right style="thick"/>
      <top style="thick"/>
      <bottom style="thick"/>
      <diagonal/>
    </border>
    <border diagonalUp="false" diagonalDown="false">
      <left style="thick"/>
      <right style="thick"/>
      <top style="thick"/>
      <bottom style="thin"/>
      <diagonal/>
    </border>
    <border diagonalUp="false" diagonalDown="false">
      <left style="thick"/>
      <right style="thick"/>
      <top style="thick"/>
      <bottom style="thick"/>
      <diagonal/>
    </border>
    <border diagonalUp="false" diagonalDown="false">
      <left style="thin"/>
      <right style="thin"/>
      <top style="thin"/>
      <bottom style="thick"/>
      <diagonal/>
    </border>
    <border diagonalUp="false" diagonalDown="false">
      <left style="thin"/>
      <right style="thin"/>
      <top style="thick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ck"/>
      <right style="thick"/>
      <top style="thin"/>
      <bottom style="thin"/>
      <diagonal/>
    </border>
    <border diagonalUp="false" diagonalDown="false">
      <left style="thick"/>
      <right style="thick"/>
      <top style="thin"/>
      <bottom style="thick"/>
      <diagonal/>
    </border>
    <border diagonalUp="false" diagonalDown="false">
      <left/>
      <right/>
      <top/>
      <bottom style="thin"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center" textRotation="0" wrapText="false" indent="0" shrinkToFit="false"/>
      <protection locked="true" hidden="false"/>
    </xf>
    <xf numFmtId="165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9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1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1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8" xfId="0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7E0021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83CAFF"/>
      <rgbColor rgb="FFFF99CC"/>
      <rgbColor rgb="FFCC99FF"/>
      <rgbColor rgb="FFFFCC99"/>
      <rgbColor rgb="FF3366FF"/>
      <rgbColor rgb="FF33CCCC"/>
      <rgbColor rgb="FF99CC00"/>
      <rgbColor rgb="FFFFD320"/>
      <rgbColor rgb="FFFF9900"/>
      <rgbColor rgb="FFFF420E"/>
      <rgbColor rgb="FF666699"/>
      <rgbColor rgb="FF969696"/>
      <rgbColor rgb="FF003366"/>
      <rgbColor rgb="FF579D1C"/>
      <rgbColor rgb="FF003300"/>
      <rgbColor rgb="FF314004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bar"/>
        <c:grouping val="clustered"/>
        <c:varyColors val="0"/>
        <c:ser>
          <c:idx val="0"/>
          <c:order val="0"/>
          <c:tx>
            <c:strRef>
              <c:f>Расчёт!$D$11</c:f>
              <c:strCache>
                <c:ptCount val="1"/>
                <c:pt idx="0">
                  <c:v>Кнопкин Д.Б.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numFmt formatCode="0.00" sourceLinked="1"/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Расчёт!$H$10:$J$10</c:f>
              <c:strCache>
                <c:ptCount val="3"/>
                <c:pt idx="0">
                  <c:v>По рабочим дням</c:v>
                </c:pt>
                <c:pt idx="1">
                  <c:v>По больничному</c:v>
                </c:pt>
                <c:pt idx="2">
                  <c:v>Премия</c:v>
                </c:pt>
              </c:strCache>
            </c:strRef>
          </c:cat>
          <c:val>
            <c:numRef>
              <c:f>Расчёт!$H$11:$J$11</c:f>
              <c:numCache>
                <c:formatCode>General</c:formatCode>
                <c:ptCount val="3"/>
                <c:pt idx="0">
                  <c:v>3980.76923076923</c:v>
                </c:pt>
                <c:pt idx="1">
                  <c:v>389.423076923077</c:v>
                </c:pt>
                <c:pt idx="2">
                  <c:v>2115</c:v>
                </c:pt>
              </c:numCache>
            </c:numRef>
          </c:val>
        </c:ser>
        <c:ser>
          <c:idx val="1"/>
          <c:order val="1"/>
          <c:tx>
            <c:strRef>
              <c:f>Расчёт!$D$12</c:f>
              <c:strCache>
                <c:ptCount val="1"/>
                <c:pt idx="0">
                  <c:v>Хомзин Г.Д.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numFmt formatCode="0.00" sourceLinked="1"/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Расчёт!$H$10:$J$10</c:f>
              <c:strCache>
                <c:ptCount val="3"/>
                <c:pt idx="0">
                  <c:v>По рабочим дням</c:v>
                </c:pt>
                <c:pt idx="1">
                  <c:v>По больничному</c:v>
                </c:pt>
                <c:pt idx="2">
                  <c:v>Премия</c:v>
                </c:pt>
              </c:strCache>
            </c:strRef>
          </c:cat>
          <c:val>
            <c:numRef>
              <c:f>Расчёт!$H$12:$J$12</c:f>
              <c:numCache>
                <c:formatCode>General</c:formatCode>
                <c:ptCount val="3"/>
                <c:pt idx="0">
                  <c:v>9000</c:v>
                </c:pt>
                <c:pt idx="1">
                  <c:v>0</c:v>
                </c:pt>
                <c:pt idx="2">
                  <c:v>90</c:v>
                </c:pt>
              </c:numCache>
            </c:numRef>
          </c:val>
        </c:ser>
        <c:ser>
          <c:idx val="2"/>
          <c:order val="2"/>
          <c:tx>
            <c:strRef>
              <c:f>Расчёт!$D$13</c:f>
              <c:strCache>
                <c:ptCount val="1"/>
                <c:pt idx="0">
                  <c:v>Рябчикова С.С.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numFmt formatCode="0.00" sourceLinked="1"/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Расчёт!$H$10:$J$10</c:f>
              <c:strCache>
                <c:ptCount val="3"/>
                <c:pt idx="0">
                  <c:v>По рабочим дням</c:v>
                </c:pt>
                <c:pt idx="1">
                  <c:v>По больничному</c:v>
                </c:pt>
                <c:pt idx="2">
                  <c:v>Премия</c:v>
                </c:pt>
              </c:strCache>
            </c:strRef>
          </c:cat>
          <c:val>
            <c:numRef>
              <c:f>Расчёт!$H$13:$J$13</c:f>
              <c:numCache>
                <c:formatCode>General</c:formatCode>
                <c:ptCount val="3"/>
                <c:pt idx="0">
                  <c:v>3210.46153846154</c:v>
                </c:pt>
                <c:pt idx="1">
                  <c:v>200.653846153846</c:v>
                </c:pt>
                <c:pt idx="2">
                  <c:v>1739</c:v>
                </c:pt>
              </c:numCache>
            </c:numRef>
          </c:val>
        </c:ser>
        <c:ser>
          <c:idx val="3"/>
          <c:order val="3"/>
          <c:tx>
            <c:strRef>
              <c:f>Расчёт!$D$14</c:f>
              <c:strCache>
                <c:ptCount val="1"/>
                <c:pt idx="0">
                  <c:v>Фёдоров М.Я.</c:v>
                </c:pt>
              </c:strCache>
            </c:strRef>
          </c:tx>
          <c:spPr>
            <a:solidFill>
              <a:srgbClr val="7e0021"/>
            </a:solidFill>
            <a:ln>
              <a:noFill/>
            </a:ln>
          </c:spPr>
          <c:invertIfNegative val="0"/>
          <c:dLbls>
            <c:numFmt formatCode="0.00" sourceLinked="1"/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Расчёт!$H$10:$J$10</c:f>
              <c:strCache>
                <c:ptCount val="3"/>
                <c:pt idx="0">
                  <c:v>По рабочим дням</c:v>
                </c:pt>
                <c:pt idx="1">
                  <c:v>По больничному</c:v>
                </c:pt>
                <c:pt idx="2">
                  <c:v>Премия</c:v>
                </c:pt>
              </c:strCache>
            </c:strRef>
          </c:cat>
          <c:val>
            <c:numRef>
              <c:f>Расчёт!$H$14:$J$14</c:f>
              <c:numCache>
                <c:formatCode>General</c:formatCode>
                <c:ptCount val="3"/>
                <c:pt idx="0">
                  <c:v>8176</c:v>
                </c:pt>
                <c:pt idx="1">
                  <c:v>0</c:v>
                </c:pt>
                <c:pt idx="2">
                  <c:v>1553.44</c:v>
                </c:pt>
              </c:numCache>
            </c:numRef>
          </c:val>
        </c:ser>
        <c:ser>
          <c:idx val="4"/>
          <c:order val="4"/>
          <c:tx>
            <c:strRef>
              <c:f>Расчёт!$D$15</c:f>
              <c:strCache>
                <c:ptCount val="1"/>
                <c:pt idx="0">
                  <c:v>Топоров Г.Г.</c:v>
                </c:pt>
              </c:strCache>
            </c:strRef>
          </c:tx>
          <c:spPr>
            <a:solidFill>
              <a:srgbClr val="83caff"/>
            </a:solidFill>
            <a:ln>
              <a:noFill/>
            </a:ln>
          </c:spPr>
          <c:invertIfNegative val="0"/>
          <c:dLbls>
            <c:numFmt formatCode="0.00" sourceLinked="1"/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Расчёт!$H$10:$J$10</c:f>
              <c:strCache>
                <c:ptCount val="3"/>
                <c:pt idx="0">
                  <c:v>По рабочим дням</c:v>
                </c:pt>
                <c:pt idx="1">
                  <c:v>По больничному</c:v>
                </c:pt>
                <c:pt idx="2">
                  <c:v>Премия</c:v>
                </c:pt>
              </c:strCache>
            </c:strRef>
          </c:cat>
          <c:val>
            <c:numRef>
              <c:f>Расчёт!$H$15:$J$15</c:f>
              <c:numCache>
                <c:formatCode>General</c:formatCode>
                <c:ptCount val="3"/>
                <c:pt idx="0">
                  <c:v>1867</c:v>
                </c:pt>
                <c:pt idx="1">
                  <c:v>0</c:v>
                </c:pt>
                <c:pt idx="2">
                  <c:v>1680.3</c:v>
                </c:pt>
              </c:numCache>
            </c:numRef>
          </c:val>
        </c:ser>
        <c:ser>
          <c:idx val="5"/>
          <c:order val="5"/>
          <c:tx>
            <c:strRef>
              <c:f>Расчёт!$D$16</c:f>
              <c:strCache>
                <c:ptCount val="1"/>
                <c:pt idx="0">
                  <c:v>Витяев А.К.</c:v>
                </c:pt>
              </c:strCache>
            </c:strRef>
          </c:tx>
          <c:spPr>
            <a:solidFill>
              <a:srgbClr val="314004"/>
            </a:solidFill>
            <a:ln>
              <a:noFill/>
            </a:ln>
          </c:spPr>
          <c:invertIfNegative val="0"/>
          <c:dLbls>
            <c:numFmt formatCode="0.00" sourceLinked="1"/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Расчёт!$H$10:$J$10</c:f>
              <c:strCache>
                <c:ptCount val="3"/>
                <c:pt idx="0">
                  <c:v>По рабочим дням</c:v>
                </c:pt>
                <c:pt idx="1">
                  <c:v>По больничному</c:v>
                </c:pt>
                <c:pt idx="2">
                  <c:v>Премия</c:v>
                </c:pt>
              </c:strCache>
            </c:strRef>
          </c:cat>
          <c:val>
            <c:numRef>
              <c:f>Расчёт!$H$16:$J$16</c:f>
              <c:numCache>
                <c:formatCode>General</c:formatCode>
                <c:ptCount val="3"/>
                <c:pt idx="0">
                  <c:v>5683.19230769231</c:v>
                </c:pt>
                <c:pt idx="1">
                  <c:v>1570.35576923077</c:v>
                </c:pt>
                <c:pt idx="2">
                  <c:v>544.39</c:v>
                </c:pt>
              </c:numCache>
            </c:numRef>
          </c:val>
        </c:ser>
        <c:gapWidth val="100"/>
        <c:overlap val="0"/>
        <c:axId val="11619105"/>
        <c:axId val="68268292"/>
      </c:barChart>
      <c:catAx>
        <c:axId val="1161910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68268292"/>
        <c:crosses val="autoZero"/>
        <c:auto val="1"/>
        <c:lblAlgn val="ctr"/>
        <c:lblOffset val="100"/>
      </c:catAx>
      <c:valAx>
        <c:axId val="68268292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11619105"/>
        <c:crosses val="autoZero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 w="36000">
          <a:solidFill>
            <a:srgbClr val="000000"/>
          </a:solidFill>
          <a:round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284400</xdr:colOff>
      <xdr:row>5</xdr:row>
      <xdr:rowOff>141120</xdr:rowOff>
    </xdr:from>
    <xdr:to>
      <xdr:col>8</xdr:col>
      <xdr:colOff>353880</xdr:colOff>
      <xdr:row>25</xdr:row>
      <xdr:rowOff>129240</xdr:rowOff>
    </xdr:to>
    <xdr:graphicFrame>
      <xdr:nvGraphicFramePr>
        <xdr:cNvPr id="0" name=""/>
        <xdr:cNvGraphicFramePr/>
      </xdr:nvGraphicFramePr>
      <xdr:xfrm>
        <a:off x="1096920" y="953640"/>
        <a:ext cx="5759280" cy="3239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2:E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26" activeCellId="0" sqref="F26"/>
    </sheetView>
  </sheetViews>
  <sheetFormatPr defaultRowHeight="15" zeroHeight="false" outlineLevelRow="0" outlineLevelCol="0"/>
  <cols>
    <col collapsed="false" customWidth="true" hidden="false" outlineLevel="0" max="2" min="1" style="0" width="8.53"/>
    <col collapsed="false" customWidth="true" hidden="false" outlineLevel="0" max="3" min="3" style="0" width="14.33"/>
    <col collapsed="false" customWidth="true" hidden="false" outlineLevel="0" max="4" min="4" style="0" width="13.34"/>
    <col collapsed="false" customWidth="true" hidden="false" outlineLevel="0" max="1025" min="5" style="0" width="8.53"/>
  </cols>
  <sheetData>
    <row r="2" customFormat="false" ht="13.8" hidden="false" customHeight="false" outlineLevel="0" collapsed="false">
      <c r="A2" s="1" t="s">
        <v>0</v>
      </c>
      <c r="B2" s="1"/>
      <c r="C2" s="1"/>
      <c r="D2" s="1"/>
      <c r="E2" s="2" t="n">
        <v>1</v>
      </c>
    </row>
    <row r="3" customFormat="false" ht="13.8" hidden="false" customHeight="false" outlineLevel="0" collapsed="false">
      <c r="A3" s="1" t="s">
        <v>1</v>
      </c>
      <c r="B3" s="1"/>
      <c r="C3" s="1"/>
      <c r="D3" s="1"/>
      <c r="E3" s="2" t="n">
        <v>10</v>
      </c>
    </row>
    <row r="4" customFormat="false" ht="13.8" hidden="false" customHeight="false" outlineLevel="0" collapsed="false">
      <c r="A4" s="1" t="s">
        <v>2</v>
      </c>
      <c r="B4" s="1"/>
      <c r="C4" s="1"/>
      <c r="D4" s="1"/>
      <c r="E4" s="2" t="n">
        <v>0.5</v>
      </c>
    </row>
    <row r="5" customFormat="false" ht="13.8" hidden="false" customHeight="false" outlineLevel="0" collapsed="false">
      <c r="A5" s="1" t="s">
        <v>3</v>
      </c>
      <c r="B5" s="1"/>
      <c r="C5" s="1"/>
      <c r="D5" s="1"/>
      <c r="E5" s="2" t="n">
        <v>0.8</v>
      </c>
    </row>
    <row r="6" customFormat="false" ht="15" hidden="false" customHeight="false" outlineLevel="0" collapsed="false">
      <c r="A6" s="3"/>
      <c r="B6" s="3"/>
      <c r="C6" s="3"/>
      <c r="D6" s="3"/>
    </row>
    <row r="7" customFormat="false" ht="13.8" hidden="false" customHeight="false" outlineLevel="0" collapsed="false">
      <c r="A7" s="4" t="s">
        <v>4</v>
      </c>
      <c r="B7" s="4"/>
      <c r="C7" s="4"/>
      <c r="D7" s="4"/>
      <c r="E7" s="4"/>
    </row>
    <row r="9" customFormat="false" ht="13.8" hidden="false" customHeight="false" outlineLevel="0" collapsed="false">
      <c r="A9" s="4" t="s">
        <v>5</v>
      </c>
      <c r="B9" s="4"/>
      <c r="C9" s="1" t="s">
        <v>6</v>
      </c>
      <c r="D9" s="1"/>
      <c r="E9" s="5"/>
    </row>
    <row r="10" customFormat="false" ht="13.8" hidden="false" customHeight="false" outlineLevel="0" collapsed="false">
      <c r="A10" s="4"/>
      <c r="B10" s="4"/>
      <c r="C10" s="6" t="n">
        <v>5</v>
      </c>
      <c r="D10" s="6" t="n">
        <v>8</v>
      </c>
    </row>
    <row r="11" customFormat="false" ht="13.8" hidden="false" customHeight="false" outlineLevel="0" collapsed="false">
      <c r="A11" s="7" t="n">
        <v>1</v>
      </c>
      <c r="B11" s="7"/>
      <c r="C11" s="2" t="n">
        <f aca="false">SQRT(ABS(POWER($A11+C$10,2)/C$10))*COS(C$10*$A11)</f>
        <v>0.761145515210312</v>
      </c>
      <c r="D11" s="2" t="n">
        <f aca="false">SQRT(ABS(POWER($A11+D$10,2)/D$10))*COS(D$10*$A11)</f>
        <v>-0.462978272560241</v>
      </c>
    </row>
    <row r="12" customFormat="false" ht="13.8" hidden="false" customHeight="false" outlineLevel="0" collapsed="false">
      <c r="A12" s="7" t="n">
        <f aca="false">A11+0.5</f>
        <v>1.5</v>
      </c>
      <c r="B12" s="7"/>
      <c r="C12" s="2" t="n">
        <f aca="false">SQRT(ABS(POWER($A12+C$10,2)/C$10))*COS(C$10*$A12)</f>
        <v>1.00763017430577</v>
      </c>
      <c r="D12" s="2" t="n">
        <f aca="false">SQRT(ABS(POWER($A12+D$10,2)/D$10))*COS(D$10*$A12)</f>
        <v>2.83430056861658</v>
      </c>
    </row>
    <row r="13" customFormat="false" ht="13.8" hidden="false" customHeight="false" outlineLevel="0" collapsed="false">
      <c r="A13" s="7" t="n">
        <f aca="false">A12+0.5</f>
        <v>2</v>
      </c>
      <c r="B13" s="7"/>
      <c r="C13" s="2" t="n">
        <f aca="false">SQRT(ABS(POWER($A13+C$10,2)/C$10))*COS(C$10*$A13)</f>
        <v>-2.62670936779949</v>
      </c>
      <c r="D13" s="2" t="n">
        <f aca="false">SQRT(ABS(POWER($A13+D$10,2)/D$10))*COS(D$10*$A13)</f>
        <v>-3.38583756302125</v>
      </c>
    </row>
    <row r="14" customFormat="false" ht="13.8" hidden="false" customHeight="false" outlineLevel="0" collapsed="false">
      <c r="A14" s="7" t="n">
        <f aca="false">A13+0.5</f>
        <v>2.5</v>
      </c>
      <c r="B14" s="7"/>
      <c r="C14" s="2" t="n">
        <f aca="false">SQRT(ABS(POWER($A14+C$10,2)/C$10))*COS(C$10*$A14)</f>
        <v>3.34671717011343</v>
      </c>
      <c r="D14" s="2" t="n">
        <f aca="false">SQRT(ABS(POWER($A14+D$10,2)/D$10))*COS(D$10*$A14)</f>
        <v>1.5149273642414</v>
      </c>
    </row>
    <row r="15" customFormat="false" ht="13.8" hidden="false" customHeight="false" outlineLevel="0" collapsed="false">
      <c r="A15" s="7" t="n">
        <f aca="false">A14+0.5</f>
        <v>3</v>
      </c>
      <c r="B15" s="7"/>
      <c r="C15" s="2" t="n">
        <f aca="false">SQRT(ABS(POWER($A15+C$10,2)/C$10))*COS(C$10*$A15)</f>
        <v>-2.71794210373962</v>
      </c>
      <c r="D15" s="2" t="n">
        <f aca="false">SQRT(ABS(POWER($A15+D$10,2)/D$10))*COS(D$10*$A15)</f>
        <v>1.64966918888733</v>
      </c>
    </row>
    <row r="16" customFormat="false" ht="13.8" hidden="false" customHeight="false" outlineLevel="0" collapsed="false">
      <c r="A16" s="7" t="n">
        <f aca="false">A15+0.5</f>
        <v>3.5</v>
      </c>
      <c r="B16" s="7"/>
      <c r="C16" s="2" t="n">
        <f aca="false">SQRT(ABS(POWER($A16+C$10,2)/C$10))*COS(C$10*$A16)</f>
        <v>0.834160547025489</v>
      </c>
      <c r="D16" s="2" t="n">
        <f aca="false">SQRT(ABS(POWER($A16+D$10,2)/D$10))*COS(D$10*$A16)</f>
        <v>-3.91382453016158</v>
      </c>
    </row>
    <row r="17" customFormat="false" ht="13.8" hidden="false" customHeight="false" outlineLevel="0" collapsed="false">
      <c r="A17" s="7" t="n">
        <f aca="false">A16+0.5</f>
        <v>4</v>
      </c>
      <c r="B17" s="7"/>
      <c r="C17" s="2" t="n">
        <f aca="false">SQRT(ABS(POWER($A17+C$10,2)/C$10))*COS(C$10*$A17)</f>
        <v>1.64249861510343</v>
      </c>
      <c r="D17" s="2" t="n">
        <f aca="false">SQRT(ABS(POWER($A17+D$10,2)/D$10))*COS(D$10*$A17)</f>
        <v>3.5393099714303</v>
      </c>
    </row>
    <row r="18" customFormat="false" ht="13.8" hidden="false" customHeight="false" outlineLevel="0" collapsed="false">
      <c r="A18" s="7" t="n">
        <f aca="false">A17+0.5</f>
        <v>4.5</v>
      </c>
      <c r="B18" s="7"/>
      <c r="C18" s="2" t="n">
        <f aca="false">SQRT(ABS(POWER($A18+C$10,2)/C$10))*COS(C$10*$A18)</f>
        <v>-3.71026022659867</v>
      </c>
      <c r="D18" s="2" t="n">
        <f aca="false">SQRT(ABS(POWER($A18+D$10,2)/D$10))*COS(D$10*$A18)</f>
        <v>-0.565524954257428</v>
      </c>
    </row>
    <row r="19" customFormat="false" ht="13.8" hidden="false" customHeight="false" outlineLevel="0" collapsed="false">
      <c r="A19" s="7" t="n">
        <f aca="false">A18+0.5</f>
        <v>5</v>
      </c>
      <c r="B19" s="7"/>
      <c r="C19" s="2" t="n">
        <f aca="false">SQRT(ABS(POWER($A19+C$10,2)/C$10))*COS(C$10*$A19)</f>
        <v>4.43279373363132</v>
      </c>
      <c r="D19" s="2" t="n">
        <f aca="false">SQRT(ABS(POWER($A19+D$10,2)/D$10))*COS(D$10*$A19)</f>
        <v>-3.06537676916722</v>
      </c>
    </row>
    <row r="20" customFormat="false" ht="13.8" hidden="false" customHeight="false" outlineLevel="0" collapsed="false">
      <c r="A20" s="7" t="n">
        <f aca="false">A19+0.5</f>
        <v>5.5</v>
      </c>
      <c r="B20" s="7"/>
      <c r="C20" s="2" t="n">
        <f aca="false">SQRT(ABS(POWER($A20+C$10,2)/C$10))*COS(C$10*$A20)</f>
        <v>-3.35692530268221</v>
      </c>
      <c r="D20" s="2" t="n">
        <f aca="false">SQRT(ABS(POWER($A20+D$10,2)/D$10))*COS(D$10*$A20)</f>
        <v>4.77222288976424</v>
      </c>
    </row>
    <row r="21" customFormat="false" ht="13.8" hidden="false" customHeight="false" outlineLevel="0" collapsed="false">
      <c r="A21" s="7" t="n">
        <f aca="false">A20+0.5</f>
        <v>6</v>
      </c>
      <c r="B21" s="7"/>
      <c r="C21" s="2" t="n">
        <f aca="false">SQRT(ABS(POWER($A21+C$10,2)/C$10))*COS(C$10*$A21)</f>
        <v>0.758816800668388</v>
      </c>
      <c r="D21" s="2" t="n">
        <f aca="false">SQRT(ABS(POWER($A21+D$10,2)/D$10))*COS(D$10*$A21)</f>
        <v>-3.16855282363798</v>
      </c>
    </row>
    <row r="22" customFormat="false" ht="13.8" hidden="false" customHeight="false" outlineLevel="0" collapsed="false">
      <c r="A22" s="7" t="n">
        <f aca="false">A21+0.5</f>
        <v>6.5</v>
      </c>
      <c r="B22" s="7"/>
      <c r="C22" s="2" t="n">
        <f aca="false">SQRT(ABS(POWER($A22+C$10,2)/C$10))*COS(C$10*$A22)</f>
        <v>2.40552443707712</v>
      </c>
      <c r="D22" s="2" t="n">
        <f aca="false">SQRT(ABS(POWER($A22+D$10,2)/D$10))*COS(D$10*$A22)</f>
        <v>-0.835576176193617</v>
      </c>
    </row>
    <row r="23" customFormat="false" ht="13.8" hidden="false" customHeight="false" outlineLevel="0" collapsed="false">
      <c r="A23" s="7" t="n">
        <f aca="false">A22+0.5</f>
        <v>7</v>
      </c>
      <c r="B23" s="7"/>
      <c r="C23" s="2" t="n">
        <f aca="false">SQRT(ABS(POWER($A23+C$10,2)/C$10))*COS(C$10*$A23)</f>
        <v>-4.8497212831711</v>
      </c>
      <c r="D23" s="2" t="n">
        <f aca="false">SQRT(ABS(POWER($A23+D$10,2)/D$10))*COS(D$10*$A23)</f>
        <v>4.52488293011517</v>
      </c>
    </row>
    <row r="24" customFormat="false" ht="13.8" hidden="false" customHeight="false" outlineLevel="0" collapsed="false">
      <c r="A24" s="7" t="n">
        <f aca="false">A23+0.5</f>
        <v>7.5</v>
      </c>
      <c r="B24" s="7"/>
      <c r="C24" s="2" t="n">
        <f aca="false">SQRT(ABS(POWER($A24+C$10,2)/C$10))*COS(C$10*$A24)</f>
        <v>5.47972294823828</v>
      </c>
      <c r="D24" s="2" t="n">
        <f aca="false">SQRT(ABS(POWER($A24+D$10,2)/D$10))*COS(D$10*$A24)</f>
        <v>-5.21929699629777</v>
      </c>
    </row>
    <row r="25" customFormat="false" ht="13.8" hidden="false" customHeight="false" outlineLevel="0" collapsed="false">
      <c r="A25" s="7" t="n">
        <f aca="false">A24+0.5</f>
        <v>8</v>
      </c>
      <c r="B25" s="7"/>
      <c r="C25" s="2" t="n">
        <f aca="false">SQRT(ABS(POWER($A25+C$10,2)/C$10))*COS(C$10*$A25)</f>
        <v>-3.87742899085465</v>
      </c>
      <c r="D25" s="2" t="n">
        <f aca="false">SQRT(ABS(POWER($A25+D$10,2)/D$10))*COS(D$10*$A25)</f>
        <v>2.21667923914971</v>
      </c>
    </row>
    <row r="26" customFormat="false" ht="13.8" hidden="false" customHeight="false" outlineLevel="0" collapsed="false">
      <c r="A26" s="7" t="n">
        <f aca="false">A25+0.5</f>
        <v>8.5</v>
      </c>
      <c r="B26" s="7"/>
      <c r="C26" s="2" t="n">
        <f aca="false">SQRT(ABS(POWER($A26+C$10,2)/C$10))*COS(C$10*$A26)</f>
        <v>0.533606291326842</v>
      </c>
      <c r="D26" s="2" t="n">
        <f aca="false">SQRT(ABS(POWER($A26+D$10,2)/D$10))*COS(D$10*$A26)</f>
        <v>2.56763195616587</v>
      </c>
    </row>
    <row r="27" customFormat="false" ht="13.8" hidden="false" customHeight="false" outlineLevel="0" collapsed="false">
      <c r="A27" s="7" t="n">
        <f aca="false">A26+0.5</f>
        <v>9</v>
      </c>
      <c r="B27" s="7"/>
      <c r="C27" s="2" t="n">
        <f aca="false">SQRT(ABS(POWER($A27+C$10,2)/C$10))*COS(C$10*$A27)</f>
        <v>3.28903589580112</v>
      </c>
      <c r="D27" s="2" t="n">
        <f aca="false">SQRT(ABS(POWER($A27+D$10,2)/D$10))*COS(D$10*$A27)</f>
        <v>-5.81357032563869</v>
      </c>
    </row>
    <row r="28" customFormat="false" ht="13.8" hidden="false" customHeight="false" outlineLevel="0" collapsed="false">
      <c r="A28" s="7" t="n">
        <f aca="false">A27+0.5</f>
        <v>9.5</v>
      </c>
      <c r="B28" s="7"/>
      <c r="C28" s="2" t="n">
        <f aca="false">SQRT(ABS(POWER($A28+C$10,2)/C$10))*COS(C$10*$A28)</f>
        <v>-6.0313264809589</v>
      </c>
      <c r="D28" s="2" t="n">
        <f aca="false">SQRT(ABS(POWER($A28+D$10,2)/D$10))*COS(D$10*$A28)</f>
        <v>5.10028989899351</v>
      </c>
    </row>
    <row r="29" customFormat="false" ht="13.8" hidden="false" customHeight="false" outlineLevel="0" collapsed="false">
      <c r="A29" s="7" t="n">
        <f aca="false">A28+0.5</f>
        <v>10</v>
      </c>
      <c r="B29" s="7"/>
      <c r="C29" s="2" t="n">
        <f aca="false">SQRT(ABS(POWER($A29+C$10,2)/C$10))*COS(C$10*$A29)</f>
        <v>6.47318890705909</v>
      </c>
      <c r="D29" s="2" t="n">
        <f aca="false">SQRT(ABS(POWER($A29+D$10,2)/D$10))*COS(D$10*$A29)</f>
        <v>-0.702500118075751</v>
      </c>
    </row>
    <row r="30" customFormat="false" ht="45" hidden="false" customHeight="true" outlineLevel="0" collapsed="false">
      <c r="A30" s="8" t="s">
        <v>7</v>
      </c>
      <c r="B30" s="8"/>
      <c r="C30" s="2" t="n">
        <f aca="false">MAX(C11:C29)</f>
        <v>6.47318890705909</v>
      </c>
      <c r="D30" s="2" t="n">
        <f aca="false">MAX(D11:D29)</f>
        <v>5.10028989899351</v>
      </c>
    </row>
    <row r="31" customFormat="false" ht="45" hidden="false" customHeight="true" outlineLevel="0" collapsed="false">
      <c r="A31" s="8" t="s">
        <v>8</v>
      </c>
      <c r="B31" s="8"/>
      <c r="C31" s="2" t="n">
        <f aca="false">MIN(C11:C29)</f>
        <v>-6.0313264809589</v>
      </c>
      <c r="D31" s="2" t="n">
        <f aca="false">MIN(D11:D29)</f>
        <v>-5.81357032563869</v>
      </c>
    </row>
    <row r="32" customFormat="false" ht="45" hidden="false" customHeight="true" outlineLevel="0" collapsed="false">
      <c r="A32" s="8" t="s">
        <v>9</v>
      </c>
      <c r="B32" s="8"/>
      <c r="C32" s="0" t="n">
        <f aca="false">COUNTIF(C11:C29,E5)</f>
        <v>0</v>
      </c>
      <c r="D32" s="0" t="n">
        <f aca="false">COUNTIF(D11:D29,F5)</f>
        <v>0</v>
      </c>
    </row>
  </sheetData>
  <mergeCells count="29">
    <mergeCell ref="A2:D2"/>
    <mergeCell ref="A3:D3"/>
    <mergeCell ref="A4:D4"/>
    <mergeCell ref="A5:D5"/>
    <mergeCell ref="A7:E7"/>
    <mergeCell ref="A9:B10"/>
    <mergeCell ref="C9:D9"/>
    <mergeCell ref="A11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25:B25"/>
    <mergeCell ref="A26:B26"/>
    <mergeCell ref="A27:B27"/>
    <mergeCell ref="A28:B28"/>
    <mergeCell ref="A29:B29"/>
    <mergeCell ref="A30:B30"/>
    <mergeCell ref="A31:B31"/>
    <mergeCell ref="A32:B32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3:B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6" activeCellId="0" sqref="G26"/>
    </sheetView>
  </sheetViews>
  <sheetFormatPr defaultRowHeight="12.8" zeroHeight="false" outlineLevelRow="0" outlineLevelCol="0"/>
  <cols>
    <col collapsed="false" customWidth="true" hidden="false" outlineLevel="0" max="1" min="1" style="0" width="25.79"/>
    <col collapsed="false" customWidth="true" hidden="false" outlineLevel="0" max="2" min="2" style="0" width="14.99"/>
    <col collapsed="false" customWidth="true" hidden="false" outlineLevel="0" max="1025" min="3" style="0" width="9.14"/>
  </cols>
  <sheetData>
    <row r="3" customFormat="false" ht="13.8" hidden="false" customHeight="false" outlineLevel="0" collapsed="false">
      <c r="A3" s="9" t="s">
        <v>10</v>
      </c>
      <c r="B3" s="10" t="s">
        <v>11</v>
      </c>
    </row>
    <row r="4" customFormat="false" ht="13.8" hidden="false" customHeight="false" outlineLevel="0" collapsed="false">
      <c r="A4" s="11" t="s">
        <v>12</v>
      </c>
      <c r="B4" s="12" t="n">
        <v>0.13</v>
      </c>
    </row>
    <row r="5" customFormat="false" ht="13.8" hidden="false" customHeight="false" outlineLevel="0" collapsed="false">
      <c r="A5" s="11" t="s">
        <v>13</v>
      </c>
      <c r="B5" s="12" t="n">
        <v>0.01</v>
      </c>
    </row>
    <row r="6" customFormat="false" ht="13.8" hidden="false" customHeight="false" outlineLevel="0" collapsed="false">
      <c r="A6" s="13" t="s">
        <v>14</v>
      </c>
      <c r="B6" s="14" t="n">
        <v>0.75</v>
      </c>
    </row>
    <row r="7" customFormat="false" ht="13.8" hidden="false" customHeight="false" outlineLevel="0" collapsed="false"/>
    <row r="8" customFormat="false" ht="13.8" hidden="false" customHeight="false" outlineLevel="0" collapsed="false"/>
    <row r="9" customFormat="false" ht="13.8" hidden="false" customHeight="false" outlineLevel="0" collapsed="false"/>
  </sheetData>
  <printOptions headings="false" gridLines="false" gridLinesSet="true" horizontalCentered="false" verticalCentered="false"/>
  <pageMargins left="0.7875" right="0.7875" top="1.025" bottom="1.025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&amp;C&amp;"Arial,Обычный"&amp;10&amp;A</oddHeader>
    <oddFooter>&amp;C&amp;"Arial,Обычный"&amp;10Страница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O21"/>
  <sheetViews>
    <sheetView showFormulas="false" showGridLines="true" showRowColHeaders="true" showZeros="true" rightToLeft="false" tabSelected="false" showOutlineSymbols="true" defaultGridColor="true" view="normal" topLeftCell="B1" colorId="64" zoomScale="100" zoomScaleNormal="100" zoomScalePageLayoutView="100" workbookViewId="0">
      <selection pane="topLeft" activeCell="F31" activeCellId="0" sqref="F31"/>
    </sheetView>
  </sheetViews>
  <sheetFormatPr defaultRowHeight="12.8" zeroHeight="false" outlineLevelRow="0" outlineLevelCol="0"/>
  <cols>
    <col collapsed="false" customWidth="true" hidden="false" outlineLevel="0" max="1" min="1" style="0" width="9.14"/>
    <col collapsed="false" customWidth="true" hidden="false" outlineLevel="0" max="2" min="2" style="0" width="19.29"/>
    <col collapsed="false" customWidth="true" hidden="false" outlineLevel="0" max="3" min="3" style="0" width="16.2"/>
    <col collapsed="false" customWidth="true" hidden="false" outlineLevel="0" max="4" min="4" style="0" width="13.82"/>
    <col collapsed="false" customWidth="true" hidden="false" outlineLevel="0" max="5" min="5" style="0" width="14.33"/>
    <col collapsed="false" customWidth="true" hidden="false" outlineLevel="0" max="6" min="6" style="0" width="14.44"/>
    <col collapsed="false" customWidth="true" hidden="false" outlineLevel="0" max="7" min="7" style="0" width="13.78"/>
    <col collapsed="false" customWidth="true" hidden="false" outlineLevel="0" max="8" min="8" style="0" width="15.76"/>
    <col collapsed="false" customWidth="true" hidden="false" outlineLevel="0" max="9" min="9" style="0" width="15.87"/>
    <col collapsed="false" customWidth="true" hidden="false" outlineLevel="0" max="1025" min="10" style="0" width="9.14"/>
  </cols>
  <sheetData>
    <row r="1" customFormat="false" ht="13.8" hidden="false" customHeight="false" outlineLevel="0" collapsed="false"/>
    <row r="2" customFormat="false" ht="13.8" hidden="false" customHeight="false" outlineLevel="0" collapsed="false"/>
    <row r="3" customFormat="false" ht="13.8" hidden="false" customHeight="false" outlineLevel="0" collapsed="false">
      <c r="B3" s="0" t="s">
        <v>15</v>
      </c>
      <c r="C3" s="0" t="s">
        <v>16</v>
      </c>
    </row>
    <row r="4" customFormat="false" ht="13.8" hidden="false" customHeight="false" outlineLevel="0" collapsed="false">
      <c r="B4" s="0" t="s">
        <v>17</v>
      </c>
      <c r="C4" s="0" t="s">
        <v>18</v>
      </c>
    </row>
    <row r="5" customFormat="false" ht="13.8" hidden="false" customHeight="false" outlineLevel="0" collapsed="false">
      <c r="B5" s="0" t="s">
        <v>19</v>
      </c>
      <c r="C5" s="0" t="n">
        <v>26</v>
      </c>
    </row>
    <row r="6" customFormat="false" ht="13.8" hidden="false" customHeight="false" outlineLevel="0" collapsed="false"/>
    <row r="7" customFormat="false" ht="13.8" hidden="false" customHeight="false" outlineLevel="0" collapsed="false"/>
    <row r="8" customFormat="false" ht="13.8" hidden="false" customHeight="false" outlineLevel="0" collapsed="false">
      <c r="C8" s="15" t="s">
        <v>20</v>
      </c>
      <c r="D8" s="15"/>
      <c r="E8" s="15"/>
      <c r="F8" s="15"/>
      <c r="G8" s="15"/>
      <c r="H8" s="15"/>
      <c r="I8" s="15"/>
      <c r="J8" s="15"/>
      <c r="K8" s="15"/>
      <c r="L8" s="15"/>
      <c r="M8" s="15"/>
    </row>
    <row r="9" customFormat="false" ht="27" hidden="false" customHeight="true" outlineLevel="0" collapsed="false">
      <c r="C9" s="16" t="s">
        <v>21</v>
      </c>
      <c r="D9" s="17" t="s">
        <v>22</v>
      </c>
      <c r="E9" s="17" t="s">
        <v>23</v>
      </c>
      <c r="F9" s="17" t="s">
        <v>24</v>
      </c>
      <c r="G9" s="18" t="s">
        <v>25</v>
      </c>
      <c r="H9" s="19" t="s">
        <v>26</v>
      </c>
      <c r="I9" s="19"/>
      <c r="J9" s="19"/>
      <c r="K9" s="19"/>
      <c r="L9" s="19" t="s">
        <v>27</v>
      </c>
      <c r="M9" s="19"/>
      <c r="N9" s="19"/>
      <c r="O9" s="20" t="s">
        <v>28</v>
      </c>
    </row>
    <row r="10" customFormat="false" ht="36" hidden="false" customHeight="true" outlineLevel="0" collapsed="false">
      <c r="C10" s="16"/>
      <c r="D10" s="17"/>
      <c r="E10" s="17"/>
      <c r="F10" s="17"/>
      <c r="G10" s="18"/>
      <c r="H10" s="21" t="s">
        <v>29</v>
      </c>
      <c r="I10" s="22" t="s">
        <v>30</v>
      </c>
      <c r="J10" s="22" t="s">
        <v>24</v>
      </c>
      <c r="K10" s="23" t="s">
        <v>31</v>
      </c>
      <c r="L10" s="21" t="s">
        <v>32</v>
      </c>
      <c r="M10" s="22" t="s">
        <v>33</v>
      </c>
      <c r="N10" s="23" t="s">
        <v>31</v>
      </c>
      <c r="O10" s="20"/>
    </row>
    <row r="11" customFormat="false" ht="13.8" hidden="false" customHeight="false" outlineLevel="0" collapsed="false">
      <c r="C11" s="24" t="s">
        <v>34</v>
      </c>
      <c r="D11" s="25" t="s">
        <v>35</v>
      </c>
      <c r="E11" s="26" t="n">
        <v>4500</v>
      </c>
      <c r="F11" s="27" t="n">
        <v>0.47</v>
      </c>
      <c r="G11" s="28" t="n">
        <v>3</v>
      </c>
      <c r="H11" s="29" t="n">
        <f aca="false">E11*($C$5-G11)/$C$5</f>
        <v>3980.76923076923</v>
      </c>
      <c r="I11" s="30" t="n">
        <f aca="false">E11/$C$5*G11*Справочник!$B$6</f>
        <v>389.423076923077</v>
      </c>
      <c r="J11" s="30" t="n">
        <f aca="false">E11*F11</f>
        <v>2115</v>
      </c>
      <c r="K11" s="31" t="n">
        <f aca="false">SUM(H11:J11)</f>
        <v>6485.19230769231</v>
      </c>
      <c r="L11" s="29" t="n">
        <f aca="false">K11*Справочник!$B$4</f>
        <v>843.075</v>
      </c>
      <c r="M11" s="30" t="n">
        <f aca="false">K11*Справочник!$B$5</f>
        <v>64.8519230769231</v>
      </c>
      <c r="N11" s="31" t="n">
        <f aca="false">SUM(M11,L11)</f>
        <v>907.926923076923</v>
      </c>
      <c r="O11" s="32" t="n">
        <f aca="false">K11-N11</f>
        <v>5577.26538461539</v>
      </c>
    </row>
    <row r="12" customFormat="false" ht="13.8" hidden="false" customHeight="false" outlineLevel="0" collapsed="false">
      <c r="C12" s="33" t="s">
        <v>36</v>
      </c>
      <c r="D12" s="34" t="s">
        <v>37</v>
      </c>
      <c r="E12" s="35" t="n">
        <v>9000</v>
      </c>
      <c r="F12" s="36" t="n">
        <v>0.01</v>
      </c>
      <c r="G12" s="37"/>
      <c r="H12" s="38" t="n">
        <f aca="false">E12*($C$5-G12)/$C$5</f>
        <v>9000</v>
      </c>
      <c r="I12" s="39" t="n">
        <f aca="false">E12/$C$5*G12*Справочник!$B$6</f>
        <v>0</v>
      </c>
      <c r="J12" s="39" t="n">
        <f aca="false">E12*F12</f>
        <v>90</v>
      </c>
      <c r="K12" s="40" t="n">
        <f aca="false">SUM(H12:J12)</f>
        <v>9090</v>
      </c>
      <c r="L12" s="38" t="n">
        <f aca="false">K12*Справочник!$B$4</f>
        <v>1181.7</v>
      </c>
      <c r="M12" s="39" t="n">
        <f aca="false">K12*Справочник!$B$5</f>
        <v>90.9</v>
      </c>
      <c r="N12" s="40" t="n">
        <f aca="false">SUM(M12,L12)</f>
        <v>1272.6</v>
      </c>
      <c r="O12" s="41" t="n">
        <f aca="false">K12-N12</f>
        <v>7817.4</v>
      </c>
    </row>
    <row r="13" customFormat="false" ht="13.8" hidden="false" customHeight="false" outlineLevel="0" collapsed="false">
      <c r="C13" s="33" t="s">
        <v>38</v>
      </c>
      <c r="D13" s="34" t="s">
        <v>39</v>
      </c>
      <c r="E13" s="35" t="n">
        <v>3478</v>
      </c>
      <c r="F13" s="36" t="n">
        <v>0.5</v>
      </c>
      <c r="G13" s="37" t="n">
        <v>2</v>
      </c>
      <c r="H13" s="38" t="n">
        <f aca="false">E13*($C$5-G13)/$C$5</f>
        <v>3210.46153846154</v>
      </c>
      <c r="I13" s="39" t="n">
        <f aca="false">E13/$C$5*G13*Справочник!$B$6</f>
        <v>200.653846153846</v>
      </c>
      <c r="J13" s="39" t="n">
        <f aca="false">E13*F13</f>
        <v>1739</v>
      </c>
      <c r="K13" s="40" t="n">
        <f aca="false">SUM(H13:J13)</f>
        <v>5150.11538461538</v>
      </c>
      <c r="L13" s="38" t="n">
        <f aca="false">K13*Справочник!$B$4</f>
        <v>669.515</v>
      </c>
      <c r="M13" s="39" t="n">
        <f aca="false">K13*Справочник!$B$5</f>
        <v>51.5011538461538</v>
      </c>
      <c r="N13" s="40" t="n">
        <f aca="false">SUM(M13,L13)</f>
        <v>721.016153846154</v>
      </c>
      <c r="O13" s="41" t="n">
        <f aca="false">K13-N13</f>
        <v>4429.09923076923</v>
      </c>
    </row>
    <row r="14" customFormat="false" ht="13.8" hidden="false" customHeight="false" outlineLevel="0" collapsed="false">
      <c r="C14" s="33" t="s">
        <v>40</v>
      </c>
      <c r="D14" s="34" t="s">
        <v>41</v>
      </c>
      <c r="E14" s="35" t="n">
        <v>8176</v>
      </c>
      <c r="F14" s="36" t="n">
        <v>0.19</v>
      </c>
      <c r="G14" s="37"/>
      <c r="H14" s="38" t="n">
        <f aca="false">E14*($C$5-G14)/$C$5</f>
        <v>8176</v>
      </c>
      <c r="I14" s="39" t="n">
        <f aca="false">E14/$C$5*G14*Справочник!$B$6</f>
        <v>0</v>
      </c>
      <c r="J14" s="39" t="n">
        <f aca="false">E14*F14</f>
        <v>1553.44</v>
      </c>
      <c r="K14" s="40" t="n">
        <f aca="false">SUM(H14:J14)</f>
        <v>9729.44</v>
      </c>
      <c r="L14" s="38" t="n">
        <f aca="false">K14*Справочник!$B$4</f>
        <v>1264.8272</v>
      </c>
      <c r="M14" s="39" t="n">
        <f aca="false">K14*Справочник!$B$5</f>
        <v>97.2944</v>
      </c>
      <c r="N14" s="40" t="n">
        <f aca="false">SUM(M14,L14)</f>
        <v>1362.1216</v>
      </c>
      <c r="O14" s="41" t="n">
        <f aca="false">K14-N14</f>
        <v>8367.3184</v>
      </c>
    </row>
    <row r="15" customFormat="false" ht="13.8" hidden="false" customHeight="false" outlineLevel="0" collapsed="false">
      <c r="C15" s="33" t="s">
        <v>42</v>
      </c>
      <c r="D15" s="34" t="s">
        <v>43</v>
      </c>
      <c r="E15" s="35" t="n">
        <v>1867</v>
      </c>
      <c r="F15" s="36" t="n">
        <v>0.9</v>
      </c>
      <c r="G15" s="37"/>
      <c r="H15" s="38" t="n">
        <f aca="false">E15*($C$5-G15)/$C$5</f>
        <v>1867</v>
      </c>
      <c r="I15" s="39" t="n">
        <f aca="false">E15/$C$5*G15*Справочник!$B$6</f>
        <v>0</v>
      </c>
      <c r="J15" s="39" t="n">
        <f aca="false">E15*F15</f>
        <v>1680.3</v>
      </c>
      <c r="K15" s="40" t="n">
        <f aca="false">SUM(H15:J15)</f>
        <v>3547.3</v>
      </c>
      <c r="L15" s="38" t="n">
        <f aca="false">K15*Справочник!$B$4</f>
        <v>461.149</v>
      </c>
      <c r="M15" s="39" t="n">
        <f aca="false">K15*Справочник!$B$5</f>
        <v>35.473</v>
      </c>
      <c r="N15" s="40" t="n">
        <f aca="false">SUM(M15,L15)</f>
        <v>496.622</v>
      </c>
      <c r="O15" s="41" t="n">
        <f aca="false">K15-N15</f>
        <v>3050.678</v>
      </c>
    </row>
    <row r="16" customFormat="false" ht="13.8" hidden="false" customHeight="false" outlineLevel="0" collapsed="false">
      <c r="C16" s="42" t="s">
        <v>44</v>
      </c>
      <c r="D16" s="43" t="s">
        <v>45</v>
      </c>
      <c r="E16" s="44" t="n">
        <v>7777</v>
      </c>
      <c r="F16" s="45" t="n">
        <v>0.07</v>
      </c>
      <c r="G16" s="46" t="n">
        <v>7</v>
      </c>
      <c r="H16" s="47" t="n">
        <f aca="false">E16*($C$5-G16)/$C$5</f>
        <v>5683.19230769231</v>
      </c>
      <c r="I16" s="48" t="n">
        <f aca="false">E16/$C$5*G16*Справочник!$B$6</f>
        <v>1570.35576923077</v>
      </c>
      <c r="J16" s="48" t="n">
        <f aca="false">E16*F16</f>
        <v>544.39</v>
      </c>
      <c r="K16" s="49" t="n">
        <f aca="false">SUM(H16:J16)</f>
        <v>7797.93807692308</v>
      </c>
      <c r="L16" s="47" t="n">
        <f aca="false">K16*Справочник!$B$4</f>
        <v>1013.73195</v>
      </c>
      <c r="M16" s="48" t="n">
        <f aca="false">K16*Справочник!$B$5</f>
        <v>77.9793807692308</v>
      </c>
      <c r="N16" s="49" t="n">
        <f aca="false">SUM(M16,L16)</f>
        <v>1091.71133076923</v>
      </c>
      <c r="O16" s="50" t="n">
        <f aca="false">K16-N16</f>
        <v>6706.22674615385</v>
      </c>
    </row>
    <row r="17" customFormat="false" ht="13.8" hidden="false" customHeight="false" outlineLevel="0" collapsed="false">
      <c r="C17" s="51" t="s">
        <v>46</v>
      </c>
      <c r="D17" s="51"/>
      <c r="E17" s="51"/>
      <c r="F17" s="51"/>
      <c r="G17" s="51"/>
      <c r="H17" s="52" t="n">
        <f aca="false">SUM(H11:H16)</f>
        <v>31917.4230769231</v>
      </c>
      <c r="I17" s="53" t="n">
        <f aca="false">SUM(I11:I16)</f>
        <v>2160.43269230769</v>
      </c>
      <c r="J17" s="53" t="n">
        <f aca="false">SUM(J11:J16)</f>
        <v>7722.13</v>
      </c>
      <c r="K17" s="54" t="n">
        <f aca="false">SUM(K11:K16)</f>
        <v>41799.9857692308</v>
      </c>
      <c r="L17" s="52" t="n">
        <f aca="false">SUM(L11:L16)</f>
        <v>5433.99815</v>
      </c>
      <c r="M17" s="53" t="n">
        <f aca="false">SUM(M11:M16)</f>
        <v>417.999857692308</v>
      </c>
      <c r="N17" s="54" t="n">
        <f aca="false">SUM(N11:N16)</f>
        <v>5851.99800769231</v>
      </c>
      <c r="O17" s="55" t="n">
        <f aca="false">SUM(O11:O16)</f>
        <v>35947.9877615385</v>
      </c>
    </row>
    <row r="18" customFormat="false" ht="13.8" hidden="false" customHeight="false" outlineLevel="0" collapsed="false">
      <c r="C18" s="56"/>
      <c r="D18" s="56"/>
    </row>
    <row r="19" customFormat="false" ht="13.8" hidden="false" customHeight="false" outlineLevel="0" collapsed="false">
      <c r="C19" s="56"/>
      <c r="D19" s="56"/>
      <c r="H19" s="0" t="s">
        <v>47</v>
      </c>
      <c r="I19" s="57"/>
      <c r="J19" s="0" t="s">
        <v>11</v>
      </c>
    </row>
    <row r="20" customFormat="false" ht="13.8" hidden="false" customHeight="false" outlineLevel="0" collapsed="false">
      <c r="C20" s="56"/>
      <c r="D20" s="56"/>
      <c r="H20" s="58" t="s">
        <v>48</v>
      </c>
      <c r="I20" s="57"/>
      <c r="J20" s="0" t="s">
        <v>49</v>
      </c>
    </row>
    <row r="21" customFormat="false" ht="13.8" hidden="false" customHeight="false" outlineLevel="0" collapsed="false"/>
    <row r="22" customFormat="false" ht="13.8" hidden="false" customHeight="false" outlineLevel="0" collapsed="false"/>
    <row r="23" customFormat="false" ht="13.8" hidden="false" customHeight="false" outlineLevel="0" collapsed="false"/>
    <row r="24" customFormat="false" ht="13.8" hidden="false" customHeight="false" outlineLevel="0" collapsed="false"/>
    <row r="25" customFormat="false" ht="13.8" hidden="false" customHeight="false" outlineLevel="0" collapsed="false"/>
    <row r="26" customFormat="false" ht="13.8" hidden="false" customHeight="false" outlineLevel="0" collapsed="false"/>
    <row r="27" customFormat="false" ht="13.8" hidden="false" customHeight="false" outlineLevel="0" collapsed="false"/>
    <row r="28" customFormat="false" ht="13.8" hidden="false" customHeight="false" outlineLevel="0" collapsed="false"/>
    <row r="29" customFormat="false" ht="13.8" hidden="false" customHeight="false" outlineLevel="0" collapsed="false"/>
    <row r="30" customFormat="false" ht="13.8" hidden="false" customHeight="false" outlineLevel="0" collapsed="false"/>
    <row r="31" customFormat="false" ht="13.8" hidden="false" customHeight="false" outlineLevel="0" collapsed="false"/>
    <row r="32" customFormat="false" ht="13.8" hidden="false" customHeight="false" outlineLevel="0" collapsed="false"/>
    <row r="33" customFormat="false" ht="13.8" hidden="false" customHeight="false" outlineLevel="0" collapsed="false"/>
    <row r="34" customFormat="false" ht="13.8" hidden="false" customHeight="false" outlineLevel="0" collapsed="false"/>
    <row r="35" customFormat="false" ht="13.8" hidden="false" customHeight="false" outlineLevel="0" collapsed="false"/>
    <row r="36" customFormat="false" ht="13.8" hidden="false" customHeight="false" outlineLevel="0" collapsed="false"/>
    <row r="37" customFormat="false" ht="13.8" hidden="false" customHeight="false" outlineLevel="0" collapsed="false"/>
    <row r="38" customFormat="false" ht="13.8" hidden="false" customHeight="false" outlineLevel="0" collapsed="false"/>
    <row r="39" customFormat="false" ht="13.8" hidden="false" customHeight="false" outlineLevel="0" collapsed="false"/>
    <row r="40" customFormat="false" ht="13.8" hidden="false" customHeight="false" outlineLevel="0" collapsed="false"/>
    <row r="41" customFormat="false" ht="13.8" hidden="false" customHeight="false" outlineLevel="0" collapsed="false"/>
    <row r="42" customFormat="false" ht="13.8" hidden="false" customHeight="false" outlineLevel="0" collapsed="false"/>
    <row r="43" customFormat="false" ht="13.8" hidden="false" customHeight="false" outlineLevel="0" collapsed="false"/>
    <row r="44" customFormat="false" ht="13.8" hidden="false" customHeight="false" outlineLevel="0" collapsed="false"/>
  </sheetData>
  <mergeCells count="10">
    <mergeCell ref="C8:M8"/>
    <mergeCell ref="C9:C10"/>
    <mergeCell ref="D9:D10"/>
    <mergeCell ref="E9:E10"/>
    <mergeCell ref="F9:F10"/>
    <mergeCell ref="G9:G10"/>
    <mergeCell ref="H9:K9"/>
    <mergeCell ref="L9:N9"/>
    <mergeCell ref="O9:O10"/>
    <mergeCell ref="C17:G17"/>
  </mergeCells>
  <printOptions headings="false" gridLines="false" gridLinesSet="true" horizontalCentered="false" verticalCentered="false"/>
  <pageMargins left="0.7875" right="0.7875" top="1.025" bottom="1.025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&amp;C&amp;"Arial,Обычный"&amp;10&amp;A</oddHeader>
    <oddFooter>&amp;C&amp;"Arial,Обычный"&amp;10Страница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6" activeCellId="0" sqref="H46"/>
    </sheetView>
  </sheetViews>
  <sheetFormatPr defaultRowHeight="12.8" zeroHeight="false" outlineLevelRow="0" outlineLevelCol="0"/>
  <cols>
    <col collapsed="false" customWidth="true" hidden="false" outlineLevel="0" max="1025" min="1" style="0" width="9.14"/>
  </cols>
  <sheetData/>
  <printOptions headings="false" gridLines="false" gridLinesSet="true" horizontalCentered="false" verticalCentered="false"/>
  <pageMargins left="0.7875" right="0.7875" top="1.025" bottom="1.025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&amp;C&amp;"Arial,Обычный"&amp;10&amp;A</oddHeader>
    <oddFooter>&amp;C&amp;"Arial,Обычный"&amp;10Страница 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23" activeCellId="0" sqref="H23"/>
    </sheetView>
  </sheetViews>
  <sheetFormatPr defaultRowHeight="15" zeroHeight="false" outlineLevelRow="0" outlineLevelCol="2"/>
  <cols>
    <col collapsed="false" customWidth="true" hidden="false" outlineLevel="0" max="1" min="1" style="0" width="8.53"/>
    <col collapsed="false" customWidth="true" hidden="false" outlineLevel="0" max="2" min="2" style="0" width="11.85"/>
    <col collapsed="false" customWidth="true" hidden="false" outlineLevel="0" max="3" min="3" style="0" width="14.71"/>
    <col collapsed="false" customWidth="true" hidden="false" outlineLevel="1" max="4" min="4" style="0" width="16.57"/>
    <col collapsed="false" customWidth="true" hidden="false" outlineLevel="1" max="5" min="5" style="0" width="37.28"/>
    <col collapsed="false" customWidth="false" hidden="false" outlineLevel="2" max="6" min="6" style="0" width="11.43"/>
    <col collapsed="false" customWidth="true" hidden="false" outlineLevel="2" max="7" min="7" style="0" width="26.3"/>
    <col collapsed="false" customWidth="true" hidden="false" outlineLevel="0" max="8" min="8" style="0" width="29.72"/>
    <col collapsed="false" customWidth="true" hidden="false" outlineLevel="0" max="10" min="9" style="0" width="8.53"/>
    <col collapsed="false" customWidth="true" hidden="true" outlineLevel="0" max="11" min="11" style="0" width="35.85"/>
    <col collapsed="false" customWidth="true" hidden="false" outlineLevel="0" max="1025" min="12" style="0" width="8.53"/>
  </cols>
  <sheetData>
    <row r="1" customFormat="false" ht="15" hidden="false" customHeight="false" outlineLevel="0" collapsed="false">
      <c r="A1" s="59" t="s">
        <v>50</v>
      </c>
      <c r="B1" s="59" t="s">
        <v>51</v>
      </c>
      <c r="C1" s="59" t="s">
        <v>52</v>
      </c>
      <c r="D1" s="59" t="s">
        <v>53</v>
      </c>
      <c r="E1" s="59" t="s">
        <v>54</v>
      </c>
      <c r="F1" s="59" t="s">
        <v>55</v>
      </c>
      <c r="G1" s="59" t="s">
        <v>56</v>
      </c>
      <c r="H1" s="59" t="s">
        <v>57</v>
      </c>
    </row>
    <row r="2" customFormat="false" ht="15" hidden="false" customHeight="false" outlineLevel="0" collapsed="false">
      <c r="A2" s="0" t="n">
        <v>6</v>
      </c>
      <c r="B2" s="0" t="s">
        <v>58</v>
      </c>
      <c r="C2" s="0" t="s">
        <v>59</v>
      </c>
      <c r="D2" s="0" t="s">
        <v>60</v>
      </c>
      <c r="E2" s="59" t="s">
        <v>61</v>
      </c>
      <c r="F2" s="0" t="n">
        <v>5001</v>
      </c>
      <c r="G2" s="0" t="s">
        <v>62</v>
      </c>
      <c r="H2" s="0" t="n">
        <v>1786</v>
      </c>
      <c r="K2" s="59" t="s">
        <v>63</v>
      </c>
    </row>
    <row r="3" customFormat="false" ht="15" hidden="false" customHeight="false" outlineLevel="0" collapsed="false">
      <c r="A3" s="0" t="n">
        <v>7</v>
      </c>
      <c r="B3" s="0" t="s">
        <v>58</v>
      </c>
      <c r="C3" s="0" t="s">
        <v>64</v>
      </c>
      <c r="D3" s="0" t="s">
        <v>65</v>
      </c>
      <c r="E3" s="59" t="s">
        <v>61</v>
      </c>
      <c r="F3" s="0" t="n">
        <v>5001</v>
      </c>
      <c r="G3" s="0" t="s">
        <v>66</v>
      </c>
      <c r="H3" s="0" t="n">
        <v>1855</v>
      </c>
      <c r="K3" s="59" t="s">
        <v>67</v>
      </c>
    </row>
    <row r="4" customFormat="false" ht="15" hidden="false" customHeight="false" outlineLevel="0" collapsed="false">
      <c r="A4" s="0" t="n">
        <v>9</v>
      </c>
      <c r="B4" s="0" t="s">
        <v>68</v>
      </c>
      <c r="C4" s="0" t="s">
        <v>69</v>
      </c>
      <c r="D4" s="0" t="s">
        <v>70</v>
      </c>
      <c r="E4" s="59" t="s">
        <v>61</v>
      </c>
      <c r="F4" s="0" t="n">
        <v>5109</v>
      </c>
      <c r="G4" s="0" t="s">
        <v>71</v>
      </c>
      <c r="H4" s="0" t="n">
        <v>1906</v>
      </c>
      <c r="K4" s="59" t="s">
        <v>61</v>
      </c>
    </row>
    <row r="5" customFormat="false" ht="15" hidden="false" customHeight="false" outlineLevel="0" collapsed="false">
      <c r="A5" s="0" t="n">
        <v>8</v>
      </c>
      <c r="B5" s="0" t="s">
        <v>58</v>
      </c>
      <c r="C5" s="0" t="s">
        <v>72</v>
      </c>
      <c r="D5" s="0" t="s">
        <v>73</v>
      </c>
      <c r="E5" s="59" t="s">
        <v>61</v>
      </c>
      <c r="F5" s="0" t="n">
        <v>5193</v>
      </c>
      <c r="G5" s="0" t="s">
        <v>74</v>
      </c>
      <c r="H5" s="0" t="n">
        <v>1888</v>
      </c>
      <c r="K5" s="59" t="s">
        <v>75</v>
      </c>
    </row>
    <row r="6" customFormat="false" ht="15" hidden="false" customHeight="false" outlineLevel="0" collapsed="false">
      <c r="A6" s="0" t="n">
        <v>10</v>
      </c>
      <c r="B6" s="0" t="s">
        <v>68</v>
      </c>
      <c r="C6" s="0" t="s">
        <v>76</v>
      </c>
      <c r="D6" s="0" t="s">
        <v>76</v>
      </c>
      <c r="E6" s="59" t="s">
        <v>61</v>
      </c>
      <c r="F6" s="0" t="n">
        <v>5199</v>
      </c>
      <c r="G6" s="59" t="s">
        <v>77</v>
      </c>
      <c r="H6" s="0" t="n">
        <v>1899</v>
      </c>
    </row>
    <row r="7" customFormat="false" ht="15" hidden="false" customHeight="false" outlineLevel="0" collapsed="false">
      <c r="A7" s="0" t="n">
        <v>5</v>
      </c>
      <c r="B7" s="0" t="s">
        <v>58</v>
      </c>
      <c r="C7" s="0" t="s">
        <v>72</v>
      </c>
      <c r="D7" s="0" t="s">
        <v>78</v>
      </c>
      <c r="E7" s="59" t="s">
        <v>61</v>
      </c>
      <c r="F7" s="0" t="n">
        <v>5642</v>
      </c>
      <c r="G7" s="0" t="s">
        <v>79</v>
      </c>
      <c r="H7" s="0" t="n">
        <v>1829</v>
      </c>
    </row>
    <row r="8" customFormat="false" ht="15" hidden="false" customHeight="false" outlineLevel="0" collapsed="false">
      <c r="A8" s="0" t="n">
        <v>11</v>
      </c>
      <c r="B8" s="0" t="s">
        <v>68</v>
      </c>
      <c r="C8" s="0" t="s">
        <v>80</v>
      </c>
      <c r="D8" s="0" t="s">
        <v>81</v>
      </c>
      <c r="E8" s="59" t="s">
        <v>61</v>
      </c>
      <c r="F8" s="0" t="n">
        <v>5895</v>
      </c>
      <c r="G8" s="59" t="s">
        <v>82</v>
      </c>
      <c r="H8" s="0" t="n">
        <v>1889</v>
      </c>
    </row>
    <row r="9" customFormat="false" ht="15" hidden="false" customHeight="false" outlineLevel="0" collapsed="false">
      <c r="A9" s="0" t="n">
        <v>12</v>
      </c>
      <c r="B9" s="0" t="s">
        <v>83</v>
      </c>
      <c r="C9" s="0" t="s">
        <v>84</v>
      </c>
      <c r="D9" s="0" t="s">
        <v>85</v>
      </c>
      <c r="E9" s="59" t="s">
        <v>61</v>
      </c>
      <c r="F9" s="0" t="n">
        <v>5956</v>
      </c>
      <c r="G9" s="59" t="s">
        <v>86</v>
      </c>
      <c r="H9" s="0" t="n">
        <v>1925</v>
      </c>
    </row>
    <row r="10" customFormat="false" ht="15" hidden="false" customHeight="false" outlineLevel="0" collapsed="false">
      <c r="A10" s="0" t="n">
        <v>14</v>
      </c>
      <c r="B10" s="0" t="s">
        <v>83</v>
      </c>
      <c r="C10" s="0" t="s">
        <v>87</v>
      </c>
      <c r="D10" s="0" t="s">
        <v>88</v>
      </c>
      <c r="E10" s="59" t="s">
        <v>75</v>
      </c>
      <c r="F10" s="0" t="n">
        <v>6746</v>
      </c>
      <c r="G10" s="0" t="s">
        <v>89</v>
      </c>
      <c r="H10" s="0" t="n">
        <v>1932</v>
      </c>
    </row>
    <row r="11" customFormat="false" ht="15" hidden="false" customHeight="false" outlineLevel="0" collapsed="false">
      <c r="A11" s="0" t="n">
        <v>15</v>
      </c>
      <c r="B11" s="0" t="s">
        <v>83</v>
      </c>
      <c r="C11" s="0" t="s">
        <v>90</v>
      </c>
      <c r="D11" s="0" t="s">
        <v>91</v>
      </c>
      <c r="E11" s="59" t="s">
        <v>75</v>
      </c>
      <c r="F11" s="0" t="n">
        <v>6795</v>
      </c>
      <c r="G11" s="0" t="s">
        <v>92</v>
      </c>
      <c r="H11" s="0" t="n">
        <v>1937</v>
      </c>
    </row>
    <row r="12" customFormat="false" ht="15" hidden="false" customHeight="false" outlineLevel="0" collapsed="false">
      <c r="A12" s="0" t="n">
        <v>13</v>
      </c>
      <c r="B12" s="0" t="s">
        <v>83</v>
      </c>
      <c r="C12" s="0" t="s">
        <v>90</v>
      </c>
      <c r="D12" s="0" t="s">
        <v>93</v>
      </c>
      <c r="E12" s="59" t="s">
        <v>75</v>
      </c>
      <c r="F12" s="0" t="n">
        <v>6961</v>
      </c>
      <c r="G12" s="59" t="s">
        <v>94</v>
      </c>
      <c r="H12" s="0" t="n">
        <v>1897</v>
      </c>
    </row>
    <row r="13" customFormat="false" ht="15" hidden="false" customHeight="false" outlineLevel="0" collapsed="false">
      <c r="A13" s="0" t="n">
        <v>4</v>
      </c>
      <c r="B13" s="0" t="s">
        <v>95</v>
      </c>
      <c r="C13" s="5" t="s">
        <v>96</v>
      </c>
      <c r="D13" s="0" t="s">
        <v>97</v>
      </c>
      <c r="E13" s="59" t="s">
        <v>67</v>
      </c>
      <c r="F13" s="0" t="n">
        <v>7492</v>
      </c>
      <c r="G13" s="0" t="s">
        <v>98</v>
      </c>
      <c r="H13" s="0" t="n">
        <v>1960</v>
      </c>
    </row>
    <row r="14" customFormat="false" ht="15" hidden="false" customHeight="false" outlineLevel="0" collapsed="false">
      <c r="A14" s="0" t="n">
        <v>3</v>
      </c>
      <c r="B14" s="0" t="s">
        <v>95</v>
      </c>
      <c r="C14" s="0" t="s">
        <v>99</v>
      </c>
      <c r="D14" s="0" t="s">
        <v>100</v>
      </c>
      <c r="E14" s="59" t="s">
        <v>67</v>
      </c>
      <c r="F14" s="0" t="n">
        <v>7893</v>
      </c>
      <c r="G14" s="0" t="s">
        <v>101</v>
      </c>
      <c r="H14" s="0" t="n">
        <v>1960</v>
      </c>
    </row>
    <row r="15" customFormat="false" ht="15" hidden="false" customHeight="false" outlineLevel="0" collapsed="false">
      <c r="A15" s="0" t="n">
        <v>2</v>
      </c>
      <c r="B15" s="0" t="s">
        <v>95</v>
      </c>
      <c r="C15" s="0" t="s">
        <v>102</v>
      </c>
      <c r="D15" s="0" t="s">
        <v>103</v>
      </c>
      <c r="E15" s="59" t="s">
        <v>63</v>
      </c>
      <c r="F15" s="0" t="n">
        <v>8611</v>
      </c>
      <c r="G15" s="0" t="s">
        <v>104</v>
      </c>
      <c r="H15" s="0" t="n">
        <v>1954</v>
      </c>
    </row>
    <row r="16" customFormat="false" ht="15" hidden="false" customHeight="false" outlineLevel="0" collapsed="false">
      <c r="A16" s="0" t="n">
        <v>1</v>
      </c>
      <c r="B16" s="0" t="s">
        <v>95</v>
      </c>
      <c r="C16" s="59" t="s">
        <v>99</v>
      </c>
      <c r="D16" s="59" t="s">
        <v>105</v>
      </c>
      <c r="E16" s="59" t="s">
        <v>63</v>
      </c>
      <c r="F16" s="0" t="n">
        <v>8848</v>
      </c>
      <c r="G16" s="0" t="s">
        <v>106</v>
      </c>
      <c r="H16" s="0" t="n">
        <v>1953</v>
      </c>
    </row>
  </sheetData>
  <autoFilter ref="A1:H16"/>
  <dataValidations count="3">
    <dataValidation allowBlank="true" operator="notEqual" showDropDown="false" showErrorMessage="true" showInputMessage="true" sqref="A1:A16 H2:H16" type="whole">
      <formula1>0</formula1>
      <formula2>0</formula2>
    </dataValidation>
    <dataValidation allowBlank="true" operator="equal" showDropDown="false" showErrorMessage="true" showInputMessage="true" sqref="E1:E16" type="list">
      <formula1>$K$2:$K$5</formula1>
      <formula2>0</formula2>
    </dataValidation>
    <dataValidation allowBlank="true" operator="equal" showDropDown="false" showErrorMessage="true" showInputMessage="true" sqref="K2:K5" type="none">
      <formula1>0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3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>&amp;C25.11.2017 1:49:57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2:C15"/>
  <sheetViews>
    <sheetView showFormulas="false" showGridLines="true" showRowColHeaders="true" showZeros="true" rightToLeft="false" tabSelected="true" showOutlineSymbols="true" defaultGridColor="true" view="normal" topLeftCell="A1" colorId="64" zoomScale="85" zoomScaleNormal="85" zoomScalePageLayoutView="100" workbookViewId="0">
      <selection pane="topLeft" activeCell="C4" activeCellId="0" sqref="C4"/>
    </sheetView>
  </sheetViews>
  <sheetFormatPr defaultRowHeight="12.8" zeroHeight="false" outlineLevelRow="0" outlineLevelCol="0"/>
  <cols>
    <col collapsed="false" customWidth="true" hidden="false" outlineLevel="0" max="1" min="1" style="0" width="21.13"/>
    <col collapsed="false" customWidth="true" hidden="false" outlineLevel="0" max="2" min="2" style="0" width="14.56"/>
    <col collapsed="false" customWidth="true" hidden="false" outlineLevel="0" max="3" min="3" style="0" width="12.62"/>
    <col collapsed="false" customWidth="true" hidden="false" outlineLevel="0" max="1025" min="4" style="0" width="9.14"/>
  </cols>
  <sheetData>
    <row r="2" customFormat="false" ht="13.8" hidden="false" customHeight="false" outlineLevel="0" collapsed="false">
      <c r="A2" s="60" t="s">
        <v>107</v>
      </c>
      <c r="B2" s="60" t="s">
        <v>108</v>
      </c>
      <c r="C2" s="60" t="s">
        <v>109</v>
      </c>
    </row>
    <row r="3" customFormat="false" ht="13.8" hidden="false" customHeight="false" outlineLevel="0" collapsed="false">
      <c r="A3" s="61" t="s">
        <v>110</v>
      </c>
      <c r="B3" s="61" t="n">
        <v>2</v>
      </c>
      <c r="C3" s="61" t="e">
        <f aca="false">vlookup()</f>
        <v>#NAME?</v>
      </c>
    </row>
    <row r="4" customFormat="false" ht="13.8" hidden="false" customHeight="false" outlineLevel="0" collapsed="false">
      <c r="A4" s="61" t="s">
        <v>111</v>
      </c>
      <c r="B4" s="61" t="n">
        <v>2</v>
      </c>
      <c r="C4" s="61"/>
    </row>
    <row r="5" customFormat="false" ht="13.8" hidden="false" customHeight="false" outlineLevel="0" collapsed="false">
      <c r="A5" s="61" t="s">
        <v>112</v>
      </c>
      <c r="B5" s="61" t="n">
        <v>1</v>
      </c>
      <c r="C5" s="61"/>
    </row>
    <row r="6" customFormat="false" ht="13.8" hidden="false" customHeight="false" outlineLevel="0" collapsed="false">
      <c r="A6" s="61" t="s">
        <v>113</v>
      </c>
      <c r="B6" s="61" t="n">
        <v>3</v>
      </c>
      <c r="C6" s="61"/>
    </row>
    <row r="7" customFormat="false" ht="13.8" hidden="false" customHeight="false" outlineLevel="0" collapsed="false">
      <c r="A7" s="61" t="s">
        <v>114</v>
      </c>
      <c r="B7" s="61" t="n">
        <v>4</v>
      </c>
      <c r="C7" s="61"/>
    </row>
    <row r="8" customFormat="false" ht="13.8" hidden="false" customHeight="false" outlineLevel="0" collapsed="false">
      <c r="A8" s="61" t="s">
        <v>115</v>
      </c>
      <c r="B8" s="61" t="n">
        <v>1</v>
      </c>
      <c r="C8" s="61"/>
    </row>
    <row r="9" customFormat="false" ht="13.8" hidden="false" customHeight="false" outlineLevel="0" collapsed="false">
      <c r="A9" s="61" t="s">
        <v>116</v>
      </c>
      <c r="B9" s="61" t="n">
        <v>1</v>
      </c>
      <c r="C9" s="61"/>
    </row>
    <row r="10" customFormat="false" ht="13.8" hidden="false" customHeight="false" outlineLevel="0" collapsed="false">
      <c r="A10" s="61" t="s">
        <v>117</v>
      </c>
      <c r="B10" s="61" t="n">
        <v>5</v>
      </c>
      <c r="C10" s="61"/>
    </row>
    <row r="11" customFormat="false" ht="13.8" hidden="false" customHeight="false" outlineLevel="0" collapsed="false">
      <c r="A11" s="61" t="s">
        <v>118</v>
      </c>
      <c r="B11" s="61" t="n">
        <v>2</v>
      </c>
      <c r="C11" s="61"/>
    </row>
    <row r="12" customFormat="false" ht="13.8" hidden="false" customHeight="false" outlineLevel="0" collapsed="false">
      <c r="A12" s="61" t="s">
        <v>119</v>
      </c>
      <c r="B12" s="61" t="n">
        <v>1</v>
      </c>
      <c r="C12" s="61"/>
    </row>
    <row r="13" customFormat="false" ht="13.8" hidden="false" customHeight="false" outlineLevel="0" collapsed="false">
      <c r="A13" s="61" t="s">
        <v>120</v>
      </c>
      <c r="B13" s="61" t="n">
        <v>10</v>
      </c>
      <c r="C13" s="61"/>
    </row>
    <row r="14" customFormat="false" ht="13.8" hidden="false" customHeight="false" outlineLevel="0" collapsed="false">
      <c r="A14" s="61" t="s">
        <v>121</v>
      </c>
      <c r="B14" s="61" t="n">
        <v>8</v>
      </c>
      <c r="C14" s="61"/>
    </row>
    <row r="15" customFormat="false" ht="13.8" hidden="false" customHeight="false" outlineLevel="0" collapsed="false">
      <c r="B15" s="62" t="s">
        <v>122</v>
      </c>
      <c r="C15" s="61"/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&amp;C&amp;"Arial,Обычный"&amp;10&amp;A</oddHeader>
    <oddFooter>&amp;C&amp;"Arial,Обычный"&amp;10Страница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2:B14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29" activeCellId="0" sqref="A29"/>
    </sheetView>
  </sheetViews>
  <sheetFormatPr defaultRowHeight="12.8" zeroHeight="false" outlineLevelRow="0" outlineLevelCol="0"/>
  <cols>
    <col collapsed="false" customWidth="true" hidden="false" outlineLevel="0" max="1" min="1" style="0" width="28.27"/>
    <col collapsed="false" customWidth="true" hidden="false" outlineLevel="0" max="2" min="2" style="0" width="11.04"/>
    <col collapsed="false" customWidth="true" hidden="false" outlineLevel="0" max="1025" min="3" style="0" width="9.14"/>
  </cols>
  <sheetData>
    <row r="2" customFormat="false" ht="12.8" hidden="false" customHeight="false" outlineLevel="0" collapsed="false">
      <c r="A2" s="0" t="s">
        <v>123</v>
      </c>
      <c r="B2" s="0" t="s">
        <v>124</v>
      </c>
    </row>
    <row r="3" customFormat="false" ht="12.8" hidden="false" customHeight="false" outlineLevel="0" collapsed="false">
      <c r="A3" s="0" t="s">
        <v>112</v>
      </c>
      <c r="B3" s="0" t="n">
        <v>8000</v>
      </c>
    </row>
    <row r="4" customFormat="false" ht="12.8" hidden="false" customHeight="false" outlineLevel="0" collapsed="false">
      <c r="A4" s="0" t="s">
        <v>125</v>
      </c>
      <c r="B4" s="0" t="n">
        <v>1400</v>
      </c>
    </row>
    <row r="5" customFormat="false" ht="12.8" hidden="false" customHeight="false" outlineLevel="0" collapsed="false">
      <c r="A5" s="0" t="s">
        <v>114</v>
      </c>
      <c r="B5" s="0" t="n">
        <v>12000</v>
      </c>
    </row>
    <row r="6" customFormat="false" ht="12.8" hidden="false" customHeight="false" outlineLevel="0" collapsed="false">
      <c r="A6" s="0" t="s">
        <v>115</v>
      </c>
      <c r="B6" s="0" t="n">
        <v>3500</v>
      </c>
    </row>
    <row r="7" customFormat="false" ht="12.8" hidden="false" customHeight="false" outlineLevel="0" collapsed="false">
      <c r="A7" s="0" t="s">
        <v>116</v>
      </c>
      <c r="B7" s="0" t="n">
        <v>700</v>
      </c>
    </row>
    <row r="8" customFormat="false" ht="12.8" hidden="false" customHeight="false" outlineLevel="0" collapsed="false">
      <c r="A8" s="0" t="s">
        <v>120</v>
      </c>
      <c r="B8" s="0" t="n">
        <v>350</v>
      </c>
    </row>
    <row r="9" customFormat="false" ht="12.8" hidden="false" customHeight="false" outlineLevel="0" collapsed="false">
      <c r="A9" s="0" t="s">
        <v>118</v>
      </c>
      <c r="B9" s="0" t="n">
        <v>1500</v>
      </c>
    </row>
    <row r="10" customFormat="false" ht="12.8" hidden="false" customHeight="false" outlineLevel="0" collapsed="false">
      <c r="A10" s="0" t="s">
        <v>121</v>
      </c>
      <c r="B10" s="0" t="n">
        <v>455</v>
      </c>
    </row>
    <row r="11" customFormat="false" ht="12.8" hidden="false" customHeight="false" outlineLevel="0" collapsed="false">
      <c r="A11" s="0" t="s">
        <v>110</v>
      </c>
      <c r="B11" s="0" t="n">
        <v>2600</v>
      </c>
    </row>
    <row r="12" customFormat="false" ht="12.8" hidden="false" customHeight="false" outlineLevel="0" collapsed="false">
      <c r="A12" s="0" t="s">
        <v>117</v>
      </c>
      <c r="B12" s="0" t="n">
        <v>4000</v>
      </c>
    </row>
    <row r="13" customFormat="false" ht="12.8" hidden="false" customHeight="false" outlineLevel="0" collapsed="false">
      <c r="A13" s="0" t="s">
        <v>111</v>
      </c>
      <c r="B13" s="0" t="n">
        <v>2800</v>
      </c>
    </row>
    <row r="14" customFormat="false" ht="12.8" hidden="false" customHeight="false" outlineLevel="0" collapsed="false">
      <c r="A14" s="0" t="s">
        <v>126</v>
      </c>
      <c r="B14" s="0" t="n">
        <v>750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&amp;C&amp;"Arial,Обычный"&amp;10&amp;A</oddHeader>
    <oddFooter>&amp;C&amp;"Arial,Обычный"&amp;10Страница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616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:creator/>
  <dc:description/>
  <dc:language>ru-RU</dc:language>
  <cp:lastModifiedBy/>
  <dcterms:modified xsi:type="dcterms:W3CDTF">2019-11-28T14:43:32Z</dcterms:modified>
  <cp:revision>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